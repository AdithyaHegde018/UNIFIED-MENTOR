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R_User\Downloads\"/>
    </mc:Choice>
  </mc:AlternateContent>
  <bookViews>
    <workbookView xWindow="0" yWindow="0" windowWidth="19200" windowHeight="6930" activeTab="4"/>
  </bookViews>
  <sheets>
    <sheet name="EmployeeData" sheetId="1" r:id="rId1"/>
    <sheet name="Date_Time" sheetId="3" r:id="rId2"/>
    <sheet name="Exercise" sheetId="2" r:id="rId3"/>
    <sheet name="Logical &amp; Calculations" sheetId="4" r:id="rId4"/>
    <sheet name="Lookup Functions" sheetId="5" r:id="rId5"/>
  </sheets>
  <definedNames>
    <definedName name="_xlnm._FilterDatabase" localSheetId="4" hidden="1">'Lookup Functions'!$A$1:$C$6</definedName>
  </definedNames>
  <calcPr calcId="162913"/>
</workbook>
</file>

<file path=xl/calcChain.xml><?xml version="1.0" encoding="utf-8"?>
<calcChain xmlns="http://schemas.openxmlformats.org/spreadsheetml/2006/main">
  <c r="B10" i="5" l="1"/>
  <c r="B12" i="5"/>
  <c r="B11" i="5"/>
  <c r="B9" i="5"/>
  <c r="E4" i="4" l="1"/>
  <c r="E2" i="4"/>
  <c r="C2" i="4"/>
  <c r="B10" i="4"/>
  <c r="B9" i="4"/>
  <c r="B8" i="4"/>
  <c r="E3" i="4"/>
  <c r="E5" i="4"/>
  <c r="E6" i="4"/>
  <c r="C4" i="4"/>
  <c r="C3" i="4"/>
  <c r="C5" i="4"/>
  <c r="C6" i="4"/>
  <c r="F2" i="3"/>
  <c r="E3" i="3"/>
  <c r="E4" i="3"/>
  <c r="E5" i="3"/>
  <c r="E6" i="3"/>
  <c r="E2" i="3"/>
  <c r="D3" i="3"/>
  <c r="D4" i="3"/>
  <c r="D5" i="3"/>
  <c r="D6" i="3"/>
  <c r="D2" i="3"/>
  <c r="C2" i="3"/>
  <c r="C3" i="3"/>
  <c r="C4" i="3"/>
  <c r="C5" i="3"/>
  <c r="C6" i="3"/>
  <c r="B8" i="3"/>
  <c r="B10" i="3"/>
  <c r="B9" i="3"/>
  <c r="J3" i="2"/>
  <c r="J4" i="2"/>
  <c r="J5" i="2"/>
  <c r="J6" i="2"/>
  <c r="J2" i="2"/>
  <c r="I3" i="2"/>
  <c r="I4" i="2"/>
  <c r="I5" i="2"/>
  <c r="I6" i="2"/>
  <c r="I2" i="2"/>
  <c r="H3" i="2"/>
  <c r="H4" i="2"/>
  <c r="H5" i="2"/>
  <c r="H6" i="2"/>
  <c r="H2" i="2"/>
  <c r="G3" i="2"/>
  <c r="G4" i="2"/>
  <c r="G5" i="2"/>
  <c r="G6" i="2"/>
  <c r="G2" i="2"/>
  <c r="F3" i="2"/>
  <c r="F4" i="2"/>
  <c r="F5" i="2"/>
  <c r="F6" i="2"/>
  <c r="F2" i="2"/>
  <c r="E3" i="2"/>
  <c r="E4" i="2"/>
  <c r="E5" i="2"/>
  <c r="E6" i="2"/>
  <c r="E2" i="2"/>
  <c r="D3" i="2"/>
  <c r="D4" i="2"/>
  <c r="D5" i="2"/>
  <c r="D6" i="2"/>
  <c r="D2" i="2"/>
  <c r="C3" i="2"/>
  <c r="C4" i="2"/>
  <c r="C5" i="2"/>
  <c r="C6" i="2"/>
  <c r="C2" i="2"/>
</calcChain>
</file>

<file path=xl/sharedStrings.xml><?xml version="1.0" encoding="utf-8"?>
<sst xmlns="http://schemas.openxmlformats.org/spreadsheetml/2006/main" count="89" uniqueCount="57">
  <si>
    <t>Full Name</t>
  </si>
  <si>
    <t>Email</t>
  </si>
  <si>
    <t>Department</t>
  </si>
  <si>
    <t>Join Date</t>
  </si>
  <si>
    <t>Leave Balance</t>
  </si>
  <si>
    <t>Basic Salary</t>
  </si>
  <si>
    <t>Bonus %</t>
  </si>
  <si>
    <t>Project Start</t>
  </si>
  <si>
    <t>Project End</t>
  </si>
  <si>
    <t>John Doe</t>
  </si>
  <si>
    <t>jane smith</t>
  </si>
  <si>
    <t>ALICE JOHNSON</t>
  </si>
  <si>
    <t>bob Brown</t>
  </si>
  <si>
    <t>Eva White</t>
  </si>
  <si>
    <t>john@example.com</t>
  </si>
  <si>
    <t>jane@example.com</t>
  </si>
  <si>
    <t>alice@example.com</t>
  </si>
  <si>
    <t>bob@example.com</t>
  </si>
  <si>
    <t>eva@example.com</t>
  </si>
  <si>
    <t>Sales</t>
  </si>
  <si>
    <t>Marketing</t>
  </si>
  <si>
    <t>HR</t>
  </si>
  <si>
    <t xml:space="preserve">      John Doe   </t>
  </si>
  <si>
    <t>jane     smith</t>
  </si>
  <si>
    <t>ALICE     JOHNSON</t>
  </si>
  <si>
    <t xml:space="preserve">     Eva White   </t>
  </si>
  <si>
    <t>Trim Function</t>
  </si>
  <si>
    <t xml:space="preserve">      BOB Brown    </t>
  </si>
  <si>
    <t>BOB@example.com</t>
  </si>
  <si>
    <t>Upper</t>
  </si>
  <si>
    <t>Lower</t>
  </si>
  <si>
    <t>Proper</t>
  </si>
  <si>
    <t>Right</t>
  </si>
  <si>
    <t>Left</t>
  </si>
  <si>
    <t>MID</t>
  </si>
  <si>
    <t>Length</t>
  </si>
  <si>
    <t>Jane Smith</t>
  </si>
  <si>
    <t>Alice Johnson</t>
  </si>
  <si>
    <t>Bob Brown</t>
  </si>
  <si>
    <t>Today</t>
  </si>
  <si>
    <t>Tomorrow</t>
  </si>
  <si>
    <t>Yesterday</t>
  </si>
  <si>
    <t>Year</t>
  </si>
  <si>
    <t>Month</t>
  </si>
  <si>
    <t>Day</t>
  </si>
  <si>
    <t>Networkdays</t>
  </si>
  <si>
    <t>Salary Status</t>
  </si>
  <si>
    <t>Rating</t>
  </si>
  <si>
    <t>Final Verdict</t>
  </si>
  <si>
    <t>Sum</t>
  </si>
  <si>
    <t>Avg</t>
  </si>
  <si>
    <t>Product</t>
  </si>
  <si>
    <t>Find Salary of Bob</t>
  </si>
  <si>
    <t>Vlookup</t>
  </si>
  <si>
    <t>Index + Match</t>
  </si>
  <si>
    <t>IFERROR</t>
  </si>
  <si>
    <t>Who has 50000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</si>
</sst>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2" borderId="0" xfId="0" applyFont="1" applyFill="1"/>
    <xf numFmtId="0" fontId="2" fillId="2" borderId="0" xfId="0" applyFont="1" applyFill="1" applyBorder="1"/>
    <xf numFmtId="0" fontId="2" fillId="2" borderId="1" xfId="0" applyFont="1" applyFill="1" applyBorder="1" applyAlignment="1">
      <alignment horizontal="center" vertical="top"/>
    </xf>
    <xf numFmtId="14" fontId="2" fillId="2" borderId="1" xfId="0" applyNumberFormat="1" applyFont="1" applyFill="1" applyBorder="1" applyAlignment="1">
      <alignment horizontal="center" vertical="top"/>
    </xf>
    <xf numFmtId="14" fontId="0" fillId="0" borderId="0" xfId="0" applyNumberFormat="1"/>
    <xf numFmtId="0" fontId="3" fillId="3" borderId="0" xfId="0" applyFont="1" applyFill="1"/>
    <xf numFmtId="0" fontId="4" fillId="3" borderId="0" xfId="0" applyFont="1" applyFill="1" applyAlignment="1">
      <alignment horizontal="center" vertic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zoomScale="130" zoomScaleNormal="130" workbookViewId="0">
      <selection activeCell="C1" sqref="C1:C6"/>
    </sheetView>
  </sheetViews>
  <sheetFormatPr defaultRowHeight="14.5" x14ac:dyDescent="0.35"/>
  <cols>
    <col min="1" max="1" width="14.08984375" bestFit="1" customWidth="1"/>
    <col min="2" max="2" width="17.7265625" bestFit="1" customWidth="1"/>
    <col min="3" max="3" width="11.1796875" bestFit="1" customWidth="1"/>
    <col min="4" max="4" width="18.453125" bestFit="1" customWidth="1"/>
    <col min="5" max="5" width="12.7265625" bestFit="1" customWidth="1"/>
    <col min="6" max="6" width="10.6328125" bestFit="1" customWidth="1"/>
    <col min="7" max="7" width="8.08984375" bestFit="1" customWidth="1"/>
    <col min="8" max="9" width="18.453125" bestFit="1" customWidth="1"/>
    <col min="10" max="10" width="14.542968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10" x14ac:dyDescent="0.35">
      <c r="A2" t="s">
        <v>9</v>
      </c>
      <c r="B2" t="s">
        <v>14</v>
      </c>
      <c r="C2" t="s">
        <v>19</v>
      </c>
      <c r="D2" s="2">
        <v>44691</v>
      </c>
      <c r="E2">
        <v>5</v>
      </c>
      <c r="F2">
        <v>50000</v>
      </c>
      <c r="G2">
        <v>0.1</v>
      </c>
      <c r="H2" s="2">
        <v>45444</v>
      </c>
      <c r="I2" s="2">
        <v>45458</v>
      </c>
    </row>
    <row r="3" spans="1:10" x14ac:dyDescent="0.35">
      <c r="A3" t="s">
        <v>10</v>
      </c>
      <c r="B3" t="s">
        <v>15</v>
      </c>
      <c r="C3" t="s">
        <v>20</v>
      </c>
      <c r="D3" s="2">
        <v>44941</v>
      </c>
      <c r="E3">
        <v>12</v>
      </c>
      <c r="F3">
        <v>60000</v>
      </c>
      <c r="G3">
        <v>0.15</v>
      </c>
      <c r="H3" s="2">
        <v>45444</v>
      </c>
      <c r="I3" s="2">
        <v>45461</v>
      </c>
    </row>
    <row r="4" spans="1:10" x14ac:dyDescent="0.35">
      <c r="A4" t="s">
        <v>11</v>
      </c>
      <c r="B4" t="s">
        <v>16</v>
      </c>
      <c r="C4" t="s">
        <v>19</v>
      </c>
      <c r="D4" s="2">
        <v>44378</v>
      </c>
      <c r="E4">
        <v>0</v>
      </c>
      <c r="F4">
        <v>55000</v>
      </c>
      <c r="G4">
        <v>0.1</v>
      </c>
      <c r="H4" s="2">
        <v>45444</v>
      </c>
      <c r="I4" s="2">
        <v>45463</v>
      </c>
    </row>
    <row r="5" spans="1:10" x14ac:dyDescent="0.35">
      <c r="A5" t="s">
        <v>12</v>
      </c>
      <c r="B5" t="s">
        <v>17</v>
      </c>
      <c r="C5" t="s">
        <v>21</v>
      </c>
      <c r="D5" s="2">
        <v>45219</v>
      </c>
      <c r="E5">
        <v>8</v>
      </c>
      <c r="F5">
        <v>45000</v>
      </c>
      <c r="G5">
        <v>0.05</v>
      </c>
      <c r="H5" s="2">
        <v>45444</v>
      </c>
      <c r="I5" s="2">
        <v>45468</v>
      </c>
    </row>
    <row r="6" spans="1:10" x14ac:dyDescent="0.35">
      <c r="A6" t="s">
        <v>13</v>
      </c>
      <c r="B6" t="s">
        <v>18</v>
      </c>
      <c r="C6" t="s">
        <v>20</v>
      </c>
      <c r="D6" s="2">
        <v>43895</v>
      </c>
      <c r="E6">
        <v>2</v>
      </c>
      <c r="F6">
        <v>70000</v>
      </c>
      <c r="G6">
        <v>0.2</v>
      </c>
      <c r="H6" s="2">
        <v>45444</v>
      </c>
      <c r="I6" s="2">
        <v>45473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zoomScale="150" zoomScaleNormal="150" workbookViewId="0">
      <selection activeCell="F1" sqref="F1:F1048576"/>
    </sheetView>
  </sheetViews>
  <sheetFormatPr defaultRowHeight="14.5" x14ac:dyDescent="0.35"/>
  <cols>
    <col min="1" max="1" width="12.08984375" bestFit="1" customWidth="1"/>
    <col min="2" max="2" width="10.26953125" style="7" bestFit="1" customWidth="1"/>
    <col min="3" max="3" width="5.36328125" bestFit="1" customWidth="1"/>
    <col min="4" max="4" width="7.26953125" bestFit="1" customWidth="1"/>
    <col min="5" max="5" width="4.81640625" bestFit="1" customWidth="1"/>
    <col min="6" max="6" width="12.7265625" bestFit="1" customWidth="1"/>
  </cols>
  <sheetData>
    <row r="1" spans="1:6" x14ac:dyDescent="0.35">
      <c r="A1" s="3" t="s">
        <v>0</v>
      </c>
      <c r="B1" s="6" t="s">
        <v>3</v>
      </c>
      <c r="C1" s="3" t="s">
        <v>42</v>
      </c>
      <c r="D1" s="3" t="s">
        <v>43</v>
      </c>
      <c r="E1" s="3" t="s">
        <v>44</v>
      </c>
      <c r="F1" s="4" t="s">
        <v>45</v>
      </c>
    </row>
    <row r="2" spans="1:6" x14ac:dyDescent="0.35">
      <c r="A2" t="s">
        <v>9</v>
      </c>
      <c r="B2" s="7">
        <v>44691</v>
      </c>
      <c r="C2">
        <f>YEAR(B2)</f>
        <v>2022</v>
      </c>
      <c r="D2">
        <f>MONTH(B2)</f>
        <v>5</v>
      </c>
      <c r="E2">
        <f>DAY(B2)</f>
        <v>10</v>
      </c>
      <c r="F2">
        <f>NETWORKDAYS(B3,B5)</f>
        <v>200</v>
      </c>
    </row>
    <row r="3" spans="1:6" x14ac:dyDescent="0.35">
      <c r="A3" t="s">
        <v>36</v>
      </c>
      <c r="B3" s="7">
        <v>44941</v>
      </c>
      <c r="C3">
        <f t="shared" ref="C3:C6" si="0">YEAR(B3)</f>
        <v>2023</v>
      </c>
      <c r="D3">
        <f t="shared" ref="D3:D6" si="1">MONTH(B3)</f>
        <v>1</v>
      </c>
      <c r="E3">
        <f t="shared" ref="E3:E6" si="2">DAY(B3)</f>
        <v>15</v>
      </c>
    </row>
    <row r="4" spans="1:6" x14ac:dyDescent="0.35">
      <c r="A4" t="s">
        <v>37</v>
      </c>
      <c r="B4" s="7">
        <v>44378</v>
      </c>
      <c r="C4">
        <f t="shared" si="0"/>
        <v>2021</v>
      </c>
      <c r="D4">
        <f t="shared" si="1"/>
        <v>7</v>
      </c>
      <c r="E4">
        <f t="shared" si="2"/>
        <v>1</v>
      </c>
    </row>
    <row r="5" spans="1:6" x14ac:dyDescent="0.35">
      <c r="A5" t="s">
        <v>38</v>
      </c>
      <c r="B5" s="7">
        <v>45219</v>
      </c>
      <c r="C5">
        <f t="shared" si="0"/>
        <v>2023</v>
      </c>
      <c r="D5">
        <f t="shared" si="1"/>
        <v>10</v>
      </c>
      <c r="E5">
        <f t="shared" si="2"/>
        <v>20</v>
      </c>
    </row>
    <row r="6" spans="1:6" x14ac:dyDescent="0.35">
      <c r="A6" t="s">
        <v>13</v>
      </c>
      <c r="B6" s="7">
        <v>43895</v>
      </c>
      <c r="C6">
        <f t="shared" si="0"/>
        <v>2020</v>
      </c>
      <c r="D6">
        <f t="shared" si="1"/>
        <v>3</v>
      </c>
      <c r="E6">
        <f t="shared" si="2"/>
        <v>5</v>
      </c>
    </row>
    <row r="8" spans="1:6" x14ac:dyDescent="0.35">
      <c r="A8" s="3" t="s">
        <v>41</v>
      </c>
      <c r="B8" s="7">
        <f ca="1">TODAY() - 1</f>
        <v>45918</v>
      </c>
    </row>
    <row r="9" spans="1:6" x14ac:dyDescent="0.35">
      <c r="A9" s="3" t="s">
        <v>39</v>
      </c>
      <c r="B9" s="7">
        <f ca="1">TODAY()</f>
        <v>45919</v>
      </c>
    </row>
    <row r="10" spans="1:6" x14ac:dyDescent="0.35">
      <c r="A10" s="3" t="s">
        <v>40</v>
      </c>
      <c r="B10" s="7">
        <f ca="1">TODAY() + 1</f>
        <v>45920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zoomScale="140" zoomScaleNormal="140" workbookViewId="0">
      <selection activeCell="F1" sqref="F1:F6"/>
    </sheetView>
  </sheetViews>
  <sheetFormatPr defaultRowHeight="14.5" x14ac:dyDescent="0.35"/>
  <cols>
    <col min="1" max="1" width="15.90625" bestFit="1" customWidth="1"/>
    <col min="2" max="2" width="17.7265625" bestFit="1" customWidth="1"/>
    <col min="3" max="4" width="14.08984375" bestFit="1" customWidth="1"/>
    <col min="5" max="5" width="11.7265625" bestFit="1" customWidth="1"/>
    <col min="6" max="6" width="12.08984375" bestFit="1" customWidth="1"/>
    <col min="7" max="7" width="6" bestFit="1" customWidth="1"/>
    <col min="8" max="8" width="4.7265625" bestFit="1" customWidth="1"/>
    <col min="9" max="9" width="9.26953125" bestFit="1" customWidth="1"/>
    <col min="10" max="10" width="7.36328125" bestFit="1" customWidth="1"/>
    <col min="11" max="11" width="6.54296875" bestFit="1" customWidth="1"/>
    <col min="12" max="12" width="12" bestFit="1" customWidth="1"/>
    <col min="13" max="13" width="10.7265625" bestFit="1" customWidth="1"/>
    <col min="14" max="14" width="10.08984375" bestFit="1" customWidth="1"/>
  </cols>
  <sheetData>
    <row r="1" spans="1:10" x14ac:dyDescent="0.35">
      <c r="A1" s="1" t="s">
        <v>0</v>
      </c>
      <c r="B1" s="1" t="s">
        <v>1</v>
      </c>
      <c r="C1" s="3" t="s">
        <v>26</v>
      </c>
      <c r="D1" s="3" t="s">
        <v>29</v>
      </c>
      <c r="E1" s="3" t="s">
        <v>30</v>
      </c>
      <c r="F1" s="3" t="s">
        <v>31</v>
      </c>
      <c r="G1" s="4" t="s">
        <v>32</v>
      </c>
      <c r="H1" s="4" t="s">
        <v>33</v>
      </c>
      <c r="I1" s="4" t="s">
        <v>34</v>
      </c>
      <c r="J1" s="4" t="s">
        <v>35</v>
      </c>
    </row>
    <row r="2" spans="1:10" x14ac:dyDescent="0.35">
      <c r="A2" t="s">
        <v>22</v>
      </c>
      <c r="B2" t="s">
        <v>14</v>
      </c>
      <c r="C2" t="str">
        <f>TRIM(A2)</f>
        <v>John Doe</v>
      </c>
      <c r="D2" t="str">
        <f>UPPER(C2)</f>
        <v>JOHN DOE</v>
      </c>
      <c r="E2" t="str">
        <f>LOWER(C2)</f>
        <v>john doe</v>
      </c>
      <c r="F2" t="str">
        <f>PROPER(C2)</f>
        <v>John Doe</v>
      </c>
      <c r="G2" t="str">
        <f>RIGHT(B2,4)</f>
        <v>.com</v>
      </c>
      <c r="H2" t="str">
        <f>LEFT(B2,2)</f>
        <v>jo</v>
      </c>
      <c r="I2" t="str">
        <f>MID(B2,5,7)</f>
        <v>@exampl</v>
      </c>
      <c r="J2">
        <f>LEN(B2)</f>
        <v>16</v>
      </c>
    </row>
    <row r="3" spans="1:10" x14ac:dyDescent="0.35">
      <c r="A3" t="s">
        <v>23</v>
      </c>
      <c r="B3" t="s">
        <v>15</v>
      </c>
      <c r="C3" t="str">
        <f>TRIM(A3)</f>
        <v>jane smith</v>
      </c>
      <c r="D3" t="str">
        <f t="shared" ref="D3:D6" si="0">UPPER(C3)</f>
        <v>JANE SMITH</v>
      </c>
      <c r="E3" t="str">
        <f t="shared" ref="E3:E6" si="1">LOWER(C3)</f>
        <v>jane smith</v>
      </c>
      <c r="F3" t="str">
        <f t="shared" ref="F3:F6" si="2">PROPER(C3)</f>
        <v>Jane Smith</v>
      </c>
      <c r="G3" t="str">
        <f t="shared" ref="G3:G6" si="3">RIGHT(B3,4)</f>
        <v>.com</v>
      </c>
      <c r="H3" t="str">
        <f t="shared" ref="H3:H6" si="4">LEFT(B3,2)</f>
        <v>ja</v>
      </c>
      <c r="I3" t="str">
        <f t="shared" ref="I3:I6" si="5">MID(B3,5,7)</f>
        <v>@exampl</v>
      </c>
      <c r="J3">
        <f t="shared" ref="J3:J6" si="6">LEN(B3)</f>
        <v>16</v>
      </c>
    </row>
    <row r="4" spans="1:10" x14ac:dyDescent="0.35">
      <c r="A4" t="s">
        <v>24</v>
      </c>
      <c r="B4" t="s">
        <v>16</v>
      </c>
      <c r="C4" t="str">
        <f>TRIM(A4)</f>
        <v>ALICE JOHNSON</v>
      </c>
      <c r="D4" t="str">
        <f t="shared" si="0"/>
        <v>ALICE JOHNSON</v>
      </c>
      <c r="E4" t="str">
        <f t="shared" si="1"/>
        <v>alice johnson</v>
      </c>
      <c r="F4" t="str">
        <f t="shared" si="2"/>
        <v>Alice Johnson</v>
      </c>
      <c r="G4" t="str">
        <f t="shared" si="3"/>
        <v>.com</v>
      </c>
      <c r="H4" t="str">
        <f t="shared" si="4"/>
        <v>al</v>
      </c>
      <c r="I4" t="str">
        <f t="shared" si="5"/>
        <v>e@examp</v>
      </c>
      <c r="J4">
        <f t="shared" si="6"/>
        <v>17</v>
      </c>
    </row>
    <row r="5" spans="1:10" x14ac:dyDescent="0.35">
      <c r="A5" t="s">
        <v>27</v>
      </c>
      <c r="B5" t="s">
        <v>28</v>
      </c>
      <c r="C5" t="str">
        <f>TRIM(A5)</f>
        <v>BOB Brown</v>
      </c>
      <c r="D5" t="str">
        <f t="shared" si="0"/>
        <v>BOB BROWN</v>
      </c>
      <c r="E5" t="str">
        <f t="shared" si="1"/>
        <v>bob brown</v>
      </c>
      <c r="F5" t="str">
        <f t="shared" si="2"/>
        <v>Bob Brown</v>
      </c>
      <c r="G5" t="str">
        <f t="shared" si="3"/>
        <v>.com</v>
      </c>
      <c r="H5" t="str">
        <f t="shared" si="4"/>
        <v>BO</v>
      </c>
      <c r="I5" t="str">
        <f t="shared" si="5"/>
        <v>example</v>
      </c>
      <c r="J5">
        <f t="shared" si="6"/>
        <v>15</v>
      </c>
    </row>
    <row r="6" spans="1:10" x14ac:dyDescent="0.35">
      <c r="A6" t="s">
        <v>25</v>
      </c>
      <c r="B6" t="s">
        <v>18</v>
      </c>
      <c r="C6" t="str">
        <f>TRIM(A6)</f>
        <v>Eva White</v>
      </c>
      <c r="D6" t="str">
        <f t="shared" si="0"/>
        <v>EVA WHITE</v>
      </c>
      <c r="E6" t="str">
        <f t="shared" si="1"/>
        <v>eva white</v>
      </c>
      <c r="F6" t="str">
        <f t="shared" si="2"/>
        <v>Eva White</v>
      </c>
      <c r="G6" t="str">
        <f t="shared" si="3"/>
        <v>.com</v>
      </c>
      <c r="H6" t="str">
        <f t="shared" si="4"/>
        <v>ev</v>
      </c>
      <c r="I6" t="str">
        <f t="shared" si="5"/>
        <v>example</v>
      </c>
      <c r="J6">
        <f t="shared" si="6"/>
        <v>15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zoomScale="150" zoomScaleNormal="150" workbookViewId="0">
      <selection sqref="A1:B6"/>
    </sheetView>
  </sheetViews>
  <sheetFormatPr defaultRowHeight="14.5" x14ac:dyDescent="0.35"/>
  <cols>
    <col min="1" max="1" width="12.08984375" bestFit="1" customWidth="1"/>
    <col min="2" max="2" width="11.453125" bestFit="1" customWidth="1"/>
    <col min="3" max="3" width="12.54296875" bestFit="1" customWidth="1"/>
    <col min="4" max="4" width="7.08984375" bestFit="1" customWidth="1"/>
    <col min="5" max="5" width="12" bestFit="1" customWidth="1"/>
  </cols>
  <sheetData>
    <row r="1" spans="1:5" x14ac:dyDescent="0.35">
      <c r="A1" s="3" t="s">
        <v>0</v>
      </c>
      <c r="B1" s="5" t="s">
        <v>5</v>
      </c>
      <c r="C1" s="3" t="s">
        <v>46</v>
      </c>
      <c r="D1" s="3" t="s">
        <v>47</v>
      </c>
      <c r="E1" s="4" t="s">
        <v>48</v>
      </c>
    </row>
    <row r="2" spans="1:5" x14ac:dyDescent="0.35">
      <c r="A2" t="s">
        <v>9</v>
      </c>
      <c r="B2">
        <v>50000</v>
      </c>
      <c r="C2" t="str">
        <f>IF(B2&gt;50000,"High Status","Low Status")</f>
        <v>Low Status</v>
      </c>
      <c r="D2">
        <v>6</v>
      </c>
      <c r="E2" t="b">
        <f>AND(C2="High Status",D2&gt;5)</f>
        <v>0</v>
      </c>
    </row>
    <row r="3" spans="1:5" x14ac:dyDescent="0.35">
      <c r="A3" t="s">
        <v>36</v>
      </c>
      <c r="B3">
        <v>60000</v>
      </c>
      <c r="C3" t="str">
        <f>IF(B3&gt;50000,"High Status","Low Status")</f>
        <v>High Status</v>
      </c>
      <c r="D3">
        <v>7</v>
      </c>
      <c r="E3" s="8" t="b">
        <f t="shared" ref="E3:E6" si="0">AND(C3="High Status",D3&gt;5)</f>
        <v>1</v>
      </c>
    </row>
    <row r="4" spans="1:5" x14ac:dyDescent="0.35">
      <c r="A4" t="s">
        <v>37</v>
      </c>
      <c r="B4">
        <v>55000</v>
      </c>
      <c r="C4" t="str">
        <f>IF(B4&gt;50000,"High Status","Low Status")</f>
        <v>High Status</v>
      </c>
      <c r="D4">
        <v>5</v>
      </c>
      <c r="E4" t="b">
        <f>AND(C4="High Status",D4&gt;5)</f>
        <v>0</v>
      </c>
    </row>
    <row r="5" spans="1:5" x14ac:dyDescent="0.35">
      <c r="A5" t="s">
        <v>38</v>
      </c>
      <c r="B5">
        <v>45000</v>
      </c>
      <c r="C5" t="str">
        <f t="shared" ref="C5:C6" si="1">IF(B5&gt;50000,"High Status","Low Status")</f>
        <v>Low Status</v>
      </c>
      <c r="D5">
        <v>8</v>
      </c>
      <c r="E5" t="b">
        <f t="shared" si="0"/>
        <v>0</v>
      </c>
    </row>
    <row r="6" spans="1:5" x14ac:dyDescent="0.35">
      <c r="A6" t="s">
        <v>13</v>
      </c>
      <c r="B6">
        <v>70000</v>
      </c>
      <c r="C6" t="str">
        <f t="shared" si="1"/>
        <v>High Status</v>
      </c>
      <c r="D6">
        <v>9</v>
      </c>
      <c r="E6" s="8" t="b">
        <f t="shared" si="0"/>
        <v>1</v>
      </c>
    </row>
    <row r="8" spans="1:5" ht="15.5" x14ac:dyDescent="0.35">
      <c r="A8" s="9" t="s">
        <v>49</v>
      </c>
      <c r="B8">
        <f>SUM(B2:B6)</f>
        <v>280000</v>
      </c>
    </row>
    <row r="9" spans="1:5" ht="15.5" x14ac:dyDescent="0.35">
      <c r="A9" s="9" t="s">
        <v>50</v>
      </c>
      <c r="B9">
        <f>AVERAGE(B2:B6)</f>
        <v>56000</v>
      </c>
    </row>
    <row r="10" spans="1:5" ht="15.5" x14ac:dyDescent="0.35">
      <c r="A10" s="9" t="s">
        <v>51</v>
      </c>
      <c r="B10">
        <f>PRODUCT(D2:D6)</f>
        <v>15120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zoomScale="150" zoomScaleNormal="150" workbookViewId="0">
      <selection activeCell="F3" sqref="F3"/>
    </sheetView>
  </sheetViews>
  <sheetFormatPr defaultRowHeight="14.5" outlineLevelRow="1" x14ac:dyDescent="0.35"/>
  <cols>
    <col min="1" max="1" width="19.26953125" bestFit="1" customWidth="1"/>
    <col min="2" max="2" width="15.7265625" bestFit="1" customWidth="1"/>
    <col min="3" max="3" width="13.6328125" bestFit="1" customWidth="1"/>
  </cols>
  <sheetData>
    <row r="1" spans="1:3" x14ac:dyDescent="0.35">
      <c r="A1" s="3" t="s">
        <v>0</v>
      </c>
      <c r="B1" s="5" t="s">
        <v>5</v>
      </c>
      <c r="C1" s="5" t="s">
        <v>2</v>
      </c>
    </row>
    <row r="2" spans="1:3" outlineLevel="1" x14ac:dyDescent="0.35">
      <c r="A2" t="s">
        <v>13</v>
      </c>
      <c r="B2">
        <v>70000</v>
      </c>
      <c r="C2" t="s">
        <v>20</v>
      </c>
    </row>
    <row r="3" spans="1:3" outlineLevel="1" x14ac:dyDescent="0.35">
      <c r="A3" t="s">
        <v>36</v>
      </c>
      <c r="B3">
        <v>60000</v>
      </c>
      <c r="C3" t="s">
        <v>20</v>
      </c>
    </row>
    <row r="4" spans="1:3" outlineLevel="1" x14ac:dyDescent="0.35">
      <c r="A4" t="s">
        <v>37</v>
      </c>
      <c r="B4">
        <v>55000</v>
      </c>
      <c r="C4" t="s">
        <v>19</v>
      </c>
    </row>
    <row r="5" spans="1:3" outlineLevel="1" x14ac:dyDescent="0.35">
      <c r="A5" t="s">
        <v>9</v>
      </c>
      <c r="B5">
        <v>50000</v>
      </c>
      <c r="C5" t="s">
        <v>19</v>
      </c>
    </row>
    <row r="6" spans="1:3" x14ac:dyDescent="0.35">
      <c r="A6" t="s">
        <v>38</v>
      </c>
      <c r="B6">
        <v>45000</v>
      </c>
      <c r="C6" t="s">
        <v>21</v>
      </c>
    </row>
    <row r="9" spans="1:3" x14ac:dyDescent="0.35">
      <c r="A9" s="11" t="s">
        <v>52</v>
      </c>
      <c r="B9" s="3">
        <f>VLOOKUP(A5,A1:C6,2,FALSE)</f>
        <v>50000</v>
      </c>
      <c r="C9" s="3" t="s">
        <v>53</v>
      </c>
    </row>
    <row r="10" spans="1:3" x14ac:dyDescent="0.35">
      <c r="A10" s="10" t="s">
        <v>56</v>
      </c>
      <c r="B10" s="3" t="str">
        <f>INDEX(A1:A6,MATCH(B5,B1:B6,0))</f>
        <v>John Doe</v>
      </c>
      <c r="C10" s="3" t="s">
        <v>54</v>
      </c>
    </row>
    <row r="11" spans="1:3" x14ac:dyDescent="0.35">
      <c r="B11" t="e">
        <f>VLOOKUP(A7,A1:C6,2,FALSE)</f>
        <v>#N/A</v>
      </c>
    </row>
    <row r="12" spans="1:3" x14ac:dyDescent="0.35">
      <c r="A12" s="11" t="s">
        <v>55</v>
      </c>
      <c r="B12" t="str">
        <f>IFERROR(VLOOKUP(A9,A1:C6,2,FALSE),"Incorrect Formula")</f>
        <v>Incorrect Formula</v>
      </c>
    </row>
  </sheetData>
  <autoFilter ref="A1:C6"/>
  <sortState ref="A2:C6">
    <sortCondition descending="1" ref="B2:B6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EmployeeData</vt:lpstr>
      <vt:lpstr>Date_Time</vt:lpstr>
      <vt:lpstr>Exercise</vt:lpstr>
      <vt:lpstr>Logical &amp; Calculations</vt:lpstr>
      <vt:lpstr>Lookup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HR_User</cp:lastModifiedBy>
  <dcterms:created xsi:type="dcterms:W3CDTF">2025-06-26T08:34:41Z</dcterms:created>
  <dcterms:modified xsi:type="dcterms:W3CDTF">2025-09-19T11:43:33Z</dcterms:modified>
</cp:coreProperties>
</file>